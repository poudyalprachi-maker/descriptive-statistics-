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77ECE18-C189-49AC-BB1A-662CDA615C8D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0" l="1"/>
  <c r="C6" i="10"/>
  <c r="C5" i="10"/>
  <c r="C3" i="10"/>
  <c r="C2" i="10"/>
  <c r="C3" i="9"/>
  <c r="C2" i="9"/>
  <c r="C2" i="6"/>
  <c r="C2" i="5"/>
  <c r="C3" i="4"/>
  <c r="C2" i="4"/>
  <c r="C2" i="3"/>
  <c r="C2" i="2"/>
  <c r="C4" i="1"/>
  <c r="C3" i="1"/>
  <c r="C2" i="1"/>
  <c r="E3" i="10" a="1"/>
  <c r="B6" i="9"/>
  <c r="B5" i="9"/>
  <c r="B3" i="6"/>
  <c r="D3" i="5"/>
  <c r="E3" i="4"/>
  <c r="E2" i="4"/>
  <c r="B5" i="3"/>
  <c r="B4" i="2"/>
  <c r="C8" i="1"/>
  <c r="C7" i="1"/>
  <c r="C6" i="1"/>
  <c r="E3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<sst xmlns="http://schemas.openxmlformats.org/spreadsheetml/2006/main" count="68" uniqueCount="49">
  <si>
    <t>Data</t>
  </si>
  <si>
    <t>Mean</t>
  </si>
  <si>
    <t>Median</t>
  </si>
  <si>
    <t>Mode</t>
  </si>
  <si>
    <t>Range</t>
  </si>
  <si>
    <t>Company</t>
  </si>
  <si>
    <t>Variance</t>
  </si>
  <si>
    <t>Consistency</t>
  </si>
  <si>
    <t>Company A</t>
  </si>
  <si>
    <t>More consistent</t>
  </si>
  <si>
    <t>Company B</t>
  </si>
  <si>
    <t>Coin</t>
  </si>
  <si>
    <t>Standard Deviation</t>
  </si>
  <si>
    <t>Risk</t>
  </si>
  <si>
    <t>Coin A</t>
  </si>
  <si>
    <t>Coin B</t>
  </si>
  <si>
    <t>Riskier</t>
  </si>
  <si>
    <r>
      <t xml:space="preserve">The </t>
    </r>
    <r>
      <rPr>
        <b/>
        <sz val="11"/>
        <rFont val="Calibri"/>
        <scheme val="minor"/>
      </rPr>
      <t>average performance</t>
    </r>
    <r>
      <rPr>
        <sz val="11"/>
        <rFont val="Calibri"/>
        <scheme val="minor"/>
      </rPr>
      <t xml:space="preserve"> of the class is about </t>
    </r>
    <r>
      <rPr>
        <b/>
        <sz val="11"/>
        <rFont val="Calibri"/>
        <scheme val="minor"/>
      </rPr>
      <t>16.29 marks</t>
    </r>
    <r>
      <rPr>
        <sz val="11"/>
        <rFont val="Calibri"/>
        <scheme val="minor"/>
      </rPr>
      <t>.</t>
    </r>
  </si>
  <si>
    <r>
      <t xml:space="preserve">Most students scored </t>
    </r>
    <r>
      <rPr>
        <b/>
        <sz val="11"/>
        <rFont val="Calibri"/>
        <scheme val="minor"/>
      </rPr>
      <t>around 16 marks</t>
    </r>
    <r>
      <rPr>
        <sz val="11"/>
        <rFont val="Calibri"/>
        <scheme val="minor"/>
      </rPr>
      <t>.</t>
    </r>
  </si>
  <si>
    <r>
      <t xml:space="preserve">Since the highest mark is 20 and many scores are above 15, it shows the class performed </t>
    </r>
    <r>
      <rPr>
        <b/>
        <sz val="11"/>
        <rFont val="Calibri"/>
        <scheme val="minor"/>
      </rPr>
      <t>fairly well overall</t>
    </r>
    <r>
      <rPr>
        <sz val="11"/>
        <rFont val="Calibri"/>
        <scheme val="minor"/>
      </rPr>
      <t>.</t>
    </r>
  </si>
  <si>
    <r>
      <t xml:space="preserve">Size </t>
    </r>
    <r>
      <rPr>
        <b/>
        <sz val="11"/>
        <rFont val="Calibri"/>
        <scheme val="minor"/>
      </rPr>
      <t>8</t>
    </r>
    <r>
      <rPr>
        <sz val="11"/>
        <rFont val="Calibri"/>
        <scheme val="minor"/>
      </rPr>
      <t xml:space="preserve"> is the most sold size.</t>
    </r>
  </si>
  <si>
    <r>
      <t xml:space="preserve">The store manager should </t>
    </r>
    <r>
      <rPr>
        <b/>
        <sz val="11"/>
        <rFont val="Calibri"/>
        <scheme val="minor"/>
      </rPr>
      <t>stock more size 8 shoes</t>
    </r>
    <r>
      <rPr>
        <sz val="11"/>
        <rFont val="Calibri"/>
        <scheme val="minor"/>
      </rPr>
      <t>.</t>
    </r>
  </si>
  <si>
    <t>Helps in better inventory planning and avoiding shortages.</t>
  </si>
  <si>
    <t>Why is median better than mean here?</t>
  </si>
  <si>
    <r>
      <t xml:space="preserve">The $50,000 car is an </t>
    </r>
    <r>
      <rPr>
        <b/>
        <sz val="11"/>
        <rFont val="Calibri"/>
        <scheme val="minor"/>
      </rPr>
      <t>extreme value (outlier)</t>
    </r>
    <r>
      <rPr>
        <sz val="11"/>
        <rFont val="Calibri"/>
        <scheme val="minor"/>
      </rPr>
      <t>.</t>
    </r>
  </si>
  <si>
    <t>The mean would increase a lot because of this one expensive car.</t>
  </si>
  <si>
    <r>
      <t xml:space="preserve">The </t>
    </r>
    <r>
      <rPr>
        <b/>
        <sz val="11"/>
        <rFont val="Calibri"/>
        <scheme val="minor"/>
      </rPr>
      <t>median gives a more realistic typical price</t>
    </r>
    <r>
      <rPr>
        <sz val="11"/>
        <rFont val="Calibri"/>
        <scheme val="minor"/>
      </rPr>
      <t xml:space="preserve"> of cars in the dealership.</t>
    </r>
  </si>
  <si>
    <r>
      <t xml:space="preserve">The student’s puzzle time varies by </t>
    </r>
    <r>
      <rPr>
        <b/>
        <sz val="11"/>
        <rFont val="Calibri"/>
        <scheme val="minor"/>
      </rPr>
      <t>15 minutes</t>
    </r>
    <r>
      <rPr>
        <sz val="11"/>
        <rFont val="Calibri"/>
        <scheme val="minor"/>
      </rPr>
      <t>.</t>
    </r>
  </si>
  <si>
    <r>
      <t xml:space="preserve">There is </t>
    </r>
    <r>
      <rPr>
        <b/>
        <sz val="11"/>
        <rFont val="Calibri"/>
        <scheme val="minor"/>
      </rPr>
      <t>moderate variation</t>
    </r>
    <r>
      <rPr>
        <sz val="11"/>
        <rFont val="Calibri"/>
        <scheme val="minor"/>
      </rPr>
      <t xml:space="preserve"> in performance.</t>
    </r>
  </si>
  <si>
    <t>Some days the student is much faster than others.</t>
  </si>
  <si>
    <t>How does this help the farmer?</t>
  </si>
  <si>
    <r>
      <t xml:space="preserve">The harvest weight changes by </t>
    </r>
    <r>
      <rPr>
        <b/>
        <sz val="11"/>
        <rFont val="Calibri"/>
        <scheme val="minor"/>
      </rPr>
      <t>22 kg</t>
    </r>
    <r>
      <rPr>
        <sz val="11"/>
        <rFont val="Calibri"/>
        <scheme val="minor"/>
      </rPr>
      <t xml:space="preserve"> weekly.</t>
    </r>
  </si>
  <si>
    <r>
      <t xml:space="preserve">The farmer can plan packaging capacity based on the </t>
    </r>
    <r>
      <rPr>
        <b/>
        <sz val="11"/>
        <rFont val="Calibri"/>
        <scheme val="minor"/>
      </rPr>
      <t>maximum possible weight (120 kg)</t>
    </r>
    <r>
      <rPr>
        <sz val="11"/>
        <rFont val="Calibri"/>
        <scheme val="minor"/>
      </rPr>
      <t>.</t>
    </r>
  </si>
  <si>
    <t>Helps in managing storage and transport efficiently.</t>
  </si>
  <si>
    <t>Why?</t>
  </si>
  <si>
    <r>
      <t>Lower variance = less spread in delivery times</t>
    </r>
    <r>
      <rPr>
        <sz val="11"/>
        <rFont val="Calibri"/>
        <scheme val="minor"/>
      </rPr>
      <t>.</t>
    </r>
  </si>
  <si>
    <t>Company A’s delays are more stable and predictable.</t>
  </si>
  <si>
    <t>Company B has more fluctuation in delays.</t>
  </si>
  <si>
    <t>Coin B is riskier.</t>
  </si>
  <si>
    <t>📌 Why?</t>
  </si>
  <si>
    <r>
      <t>Standard deviation measures volatility (fluctuation)</t>
    </r>
    <r>
      <rPr>
        <sz val="11"/>
        <rFont val="Calibri"/>
        <scheme val="minor"/>
      </rPr>
      <t>.</t>
    </r>
  </si>
  <si>
    <t>Higher standard deviation = prices move up and down more.</t>
  </si>
  <si>
    <r>
      <t xml:space="preserve">The family typically uses about </t>
    </r>
    <r>
      <rPr>
        <b/>
        <sz val="11"/>
        <rFont val="Calibri"/>
        <scheme val="minor"/>
      </rPr>
      <t>414 kWh per month</t>
    </r>
    <r>
      <rPr>
        <sz val="11"/>
        <rFont val="Calibri"/>
        <scheme val="minor"/>
      </rPr>
      <t>.</t>
    </r>
  </si>
  <si>
    <r>
      <t xml:space="preserve">Usage varies by about </t>
    </r>
    <r>
      <rPr>
        <b/>
        <sz val="11"/>
        <rFont val="Calibri"/>
        <scheme val="minor"/>
      </rPr>
      <t>20 kWh</t>
    </r>
    <r>
      <rPr>
        <sz val="11"/>
        <rFont val="Calibri"/>
        <scheme val="minor"/>
      </rPr>
      <t>, which is relatively small.</t>
    </r>
  </si>
  <si>
    <r>
      <t xml:space="preserve">This shows </t>
    </r>
    <r>
      <rPr>
        <b/>
        <sz val="11"/>
        <rFont val="Calibri"/>
        <scheme val="minor"/>
      </rPr>
      <t>fairly consistent electricity consumption</t>
    </r>
    <r>
      <rPr>
        <sz val="11"/>
        <rFont val="Calibri"/>
        <scheme val="minor"/>
      </rPr>
      <t xml:space="preserve"> with slight fluctuations.</t>
    </r>
  </si>
  <si>
    <r>
      <t xml:space="preserve">Player scores around </t>
    </r>
    <r>
      <rPr>
        <b/>
        <sz val="11"/>
        <rFont val="Calibri"/>
        <scheme val="minor"/>
      </rPr>
      <t>19–20 points per game consistently</t>
    </r>
    <r>
      <rPr>
        <sz val="11"/>
        <rFont val="Calibri"/>
        <scheme val="minor"/>
      </rPr>
      <t>.</t>
    </r>
  </si>
  <si>
    <r>
      <t xml:space="preserve">Low standard deviation (~3) means performance is </t>
    </r>
    <r>
      <rPr>
        <b/>
        <sz val="11"/>
        <rFont val="Calibri"/>
        <scheme val="minor"/>
      </rPr>
      <t>stable</t>
    </r>
    <r>
      <rPr>
        <sz val="11"/>
        <rFont val="Calibri"/>
        <scheme val="minor"/>
      </rPr>
      <t>.</t>
    </r>
  </si>
  <si>
    <t>Range of 10 shows occasional high (25) and low (15) games.</t>
  </si>
  <si>
    <r>
      <t xml:space="preserve">Since mean and median are close, performance is </t>
    </r>
    <r>
      <rPr>
        <b/>
        <sz val="11"/>
        <rFont val="Calibri"/>
        <scheme val="minor"/>
      </rPr>
      <t>balanced without extreme outliers</t>
    </r>
    <r>
      <rPr>
        <sz val="11"/>
        <rFont val="Calibri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</si>
</sst>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  <scheme val="minor"/>
    </font>
    <font>
      <b/>
      <sz val="11"/>
      <name val="Calibri"/>
    </font>
    <font>
      <b/>
      <sz val="11"/>
      <color rgb="FFFF0000"/>
      <name val="Calibri"/>
    </font>
    <font>
      <sz val="11"/>
      <name val="Calibri"/>
    </font>
    <font>
      <b/>
      <sz val="11"/>
      <color rgb="FF00B050"/>
      <name val="Calibri"/>
    </font>
    <font>
      <b/>
      <sz val="11"/>
      <color rgb="FF0070C0"/>
      <name val="Calibri"/>
    </font>
    <font>
      <b/>
      <sz val="13"/>
      <name val="Calibri"/>
    </font>
    <font>
      <b/>
      <sz val="11"/>
      <color rgb="FFC00000"/>
      <name val="Calibri"/>
    </font>
    <font>
      <b/>
      <sz val="11"/>
      <color rgb="FF7030A0"/>
      <name val="Calibri"/>
    </font>
    <font>
      <b/>
      <sz val="11"/>
      <name val="Calibri"/>
      <scheme val="minor"/>
    </font>
    <font>
      <b/>
      <sz val="13.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0" fillId="2" borderId="2" xfId="0" applyFill="1" applyBorder="1"/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3</xdr:row>
      <xdr:rowOff>0</xdr:rowOff>
    </xdr:from>
    <xdr:to>
      <xdr:col>14</xdr:col>
      <xdr:colOff>15240</xdr:colOff>
      <xdr:row>8</xdr:row>
      <xdr:rowOff>99060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C84D16A6-71EB-5707-E2BE-D86969114C56}"/>
            </a:ext>
          </a:extLst>
        </xdr:cNvPr>
        <xdr:cNvSpPr/>
      </xdr:nvSpPr>
      <xdr:spPr>
        <a:xfrm>
          <a:off x="3543300" y="525780"/>
          <a:ext cx="5981700" cy="975360"/>
        </a:xfrm>
        <a:prstGeom prst="wedgeEllipse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6</xdr:col>
      <xdr:colOff>76200</xdr:colOff>
      <xdr:row>4</xdr:row>
      <xdr:rowOff>53340</xdr:rowOff>
    </xdr:from>
    <xdr:to>
      <xdr:col>13</xdr:col>
      <xdr:colOff>876300</xdr:colOff>
      <xdr:row>7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22E2F5-5B9D-6DC9-ACA2-390F41681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2360" y="754380"/>
          <a:ext cx="57531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workbookViewId="0">
      <selection activeCell="H15" sqref="H15"/>
    </sheetView>
  </sheetViews>
  <sheetFormatPr defaultColWidth="14.44140625" defaultRowHeight="15" customHeight="1" x14ac:dyDescent="0.3"/>
  <cols>
    <col min="1" max="11" width="8.6640625" customWidth="1"/>
  </cols>
  <sheetData>
    <row r="1" spans="1:8" ht="14.25" customHeight="1" x14ac:dyDescent="0.3">
      <c r="A1" s="1" t="s">
        <v>0</v>
      </c>
      <c r="B1" s="1">
        <v>10</v>
      </c>
      <c r="C1" s="1">
        <v>12</v>
      </c>
      <c r="D1" s="1">
        <v>11</v>
      </c>
      <c r="E1" s="1">
        <v>15</v>
      </c>
      <c r="F1" s="1">
        <v>14</v>
      </c>
      <c r="G1" s="1">
        <v>13</v>
      </c>
      <c r="H1" s="1">
        <v>12</v>
      </c>
    </row>
    <row r="2" spans="1:8" ht="14.25" customHeight="1" x14ac:dyDescent="0.3">
      <c r="A2" s="2" t="s">
        <v>1</v>
      </c>
      <c r="B2" s="3">
        <v>12.428571428571431</v>
      </c>
      <c r="C2" s="3">
        <f>AVERAGE(B1:H1)</f>
        <v>12.428571428571429</v>
      </c>
    </row>
    <row r="3" spans="1:8" ht="14.25" customHeight="1" x14ac:dyDescent="0.3">
      <c r="A3" s="4" t="s">
        <v>2</v>
      </c>
      <c r="B3" s="3">
        <v>12</v>
      </c>
      <c r="C3" s="3">
        <f>MEDIAN(B1:H1)</f>
        <v>12</v>
      </c>
    </row>
    <row r="4" spans="1:8" ht="14.25" customHeight="1" x14ac:dyDescent="0.3">
      <c r="A4" s="5" t="s">
        <v>3</v>
      </c>
      <c r="B4" s="3">
        <v>12</v>
      </c>
      <c r="C4" s="3">
        <f>_xlfn.MODE.SNGL(B1:H1)</f>
        <v>12</v>
      </c>
    </row>
    <row r="5" spans="1:8" ht="14.25" customHeight="1" x14ac:dyDescent="0.3"/>
    <row r="6" spans="1:8" ht="14.25" customHeight="1" x14ac:dyDescent="0.3">
      <c r="A6" s="6"/>
      <c r="C6" s="14" t="str">
        <f ca="1">_xlfn.FORMULATEXT(C3)</f>
        <v>=MEDIAN(B1:H1)</v>
      </c>
      <c r="D6" s="14"/>
    </row>
    <row r="7" spans="1:8" ht="14.25" customHeight="1" x14ac:dyDescent="0.3">
      <c r="C7" s="14" t="str">
        <f ca="1">_xlfn.FORMULATEXT(C4)</f>
        <v>=MODE.SNGL(B1:H1)</v>
      </c>
      <c r="D7" s="14"/>
    </row>
    <row r="8" spans="1:8" ht="14.25" customHeight="1" x14ac:dyDescent="0.3">
      <c r="C8" s="14" t="str">
        <f ca="1">_xlfn.FORMULATEXT(C2)</f>
        <v>=AVERAGE(B1:H1)</v>
      </c>
      <c r="D8" s="14"/>
    </row>
    <row r="9" spans="1:8" ht="14.25" customHeight="1" x14ac:dyDescent="0.3"/>
    <row r="10" spans="1:8" ht="14.25" customHeight="1" x14ac:dyDescent="0.3"/>
    <row r="11" spans="1:8" ht="14.25" customHeight="1" x14ac:dyDescent="0.3">
      <c r="A11" s="7"/>
    </row>
    <row r="12" spans="1:8" ht="14.25" customHeight="1" x14ac:dyDescent="0.3">
      <c r="A12" s="7"/>
    </row>
    <row r="13" spans="1:8" ht="14.25" customHeight="1" x14ac:dyDescent="0.3">
      <c r="A13" s="7"/>
    </row>
    <row r="14" spans="1:8" ht="14.25" customHeight="1" x14ac:dyDescent="0.3">
      <c r="A14" s="7"/>
    </row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workbookViewId="0">
      <selection activeCell="E11" sqref="E11"/>
    </sheetView>
  </sheetViews>
  <sheetFormatPr defaultColWidth="14.44140625" defaultRowHeight="15" customHeight="1" x14ac:dyDescent="0.3"/>
  <cols>
    <col min="1" max="11" width="8.6640625" customWidth="1"/>
  </cols>
  <sheetData>
    <row r="1" spans="1:8" ht="14.25" customHeight="1" x14ac:dyDescent="0.3">
      <c r="A1" s="1" t="s">
        <v>0</v>
      </c>
      <c r="B1" s="1">
        <v>12</v>
      </c>
      <c r="C1" s="1">
        <v>15</v>
      </c>
      <c r="D1" s="1">
        <v>14</v>
      </c>
      <c r="E1" s="1">
        <v>16</v>
      </c>
      <c r="F1" s="1">
        <v>18</v>
      </c>
      <c r="G1" s="1">
        <v>20</v>
      </c>
      <c r="H1" s="1">
        <v>19</v>
      </c>
    </row>
    <row r="2" spans="1:8" ht="14.25" customHeight="1" x14ac:dyDescent="0.3">
      <c r="A2" s="8" t="s">
        <v>1</v>
      </c>
      <c r="B2">
        <v>16.285714285714299</v>
      </c>
      <c r="C2">
        <f>AVERAGE(B1:H1)</f>
        <v>16.285714285714285</v>
      </c>
    </row>
    <row r="3" spans="1:8" ht="14.25" customHeight="1" x14ac:dyDescent="0.3"/>
    <row r="4" spans="1:8" ht="14.25" customHeight="1" x14ac:dyDescent="0.3">
      <c r="B4" t="str">
        <f ca="1">_xlfn.FORMULATEXT(C2)</f>
        <v>=AVERAGE(B1:H1)</v>
      </c>
    </row>
    <row r="5" spans="1:8" ht="14.25" customHeight="1" x14ac:dyDescent="0.3"/>
    <row r="6" spans="1:8" ht="14.25" customHeight="1" x14ac:dyDescent="0.3">
      <c r="B6" t="s">
        <v>17</v>
      </c>
    </row>
    <row r="7" spans="1:8" ht="14.25" customHeight="1" x14ac:dyDescent="0.3"/>
    <row r="8" spans="1:8" ht="14.25" customHeight="1" x14ac:dyDescent="0.3">
      <c r="B8" t="s">
        <v>18</v>
      </c>
    </row>
    <row r="9" spans="1:8" ht="14.25" customHeight="1" x14ac:dyDescent="0.3"/>
    <row r="10" spans="1:8" ht="14.25" customHeight="1" x14ac:dyDescent="0.3">
      <c r="B10" t="s">
        <v>19</v>
      </c>
    </row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"/>
  <sheetViews>
    <sheetView workbookViewId="0">
      <selection activeCell="B7" sqref="B7:B11"/>
    </sheetView>
  </sheetViews>
  <sheetFormatPr defaultColWidth="14.44140625" defaultRowHeight="15" customHeight="1" x14ac:dyDescent="0.3"/>
  <cols>
    <col min="1" max="11" width="8.6640625" customWidth="1"/>
  </cols>
  <sheetData>
    <row r="1" spans="1:9" ht="14.25" customHeight="1" x14ac:dyDescent="0.3">
      <c r="A1" s="1" t="s">
        <v>0</v>
      </c>
      <c r="B1" s="1">
        <v>7</v>
      </c>
      <c r="C1" s="1">
        <v>8</v>
      </c>
      <c r="D1" s="1">
        <v>9</v>
      </c>
      <c r="E1" s="1">
        <v>8</v>
      </c>
      <c r="F1" s="1">
        <v>8</v>
      </c>
      <c r="G1" s="1">
        <v>10</v>
      </c>
      <c r="H1" s="1">
        <v>7</v>
      </c>
      <c r="I1" s="1">
        <v>9</v>
      </c>
    </row>
    <row r="2" spans="1:9" ht="14.25" customHeight="1" x14ac:dyDescent="0.3">
      <c r="A2" s="9" t="s">
        <v>3</v>
      </c>
      <c r="B2">
        <v>8</v>
      </c>
      <c r="C2">
        <f>_xlfn.MODE.SNGL(B1:I1)</f>
        <v>8</v>
      </c>
    </row>
    <row r="3" spans="1:9" ht="14.25" customHeight="1" x14ac:dyDescent="0.3"/>
    <row r="4" spans="1:9" ht="14.25" customHeight="1" x14ac:dyDescent="0.3"/>
    <row r="5" spans="1:9" ht="14.25" customHeight="1" x14ac:dyDescent="0.3">
      <c r="B5" t="str">
        <f ca="1">_xlfn.FORMULATEXT(C2)</f>
        <v>=MODE.SNGL(B1:I1)</v>
      </c>
    </row>
    <row r="6" spans="1:9" ht="14.25" customHeight="1" x14ac:dyDescent="0.3"/>
    <row r="7" spans="1:9" ht="14.25" customHeight="1" x14ac:dyDescent="0.3">
      <c r="B7" t="s">
        <v>20</v>
      </c>
    </row>
    <row r="8" spans="1:9" ht="14.25" customHeight="1" x14ac:dyDescent="0.3"/>
    <row r="9" spans="1:9" ht="14.25" customHeight="1" x14ac:dyDescent="0.3">
      <c r="B9" t="s">
        <v>21</v>
      </c>
    </row>
    <row r="10" spans="1:9" ht="14.25" customHeight="1" x14ac:dyDescent="0.3"/>
    <row r="11" spans="1:9" ht="14.25" customHeight="1" x14ac:dyDescent="0.3">
      <c r="B11" t="s">
        <v>22</v>
      </c>
    </row>
    <row r="12" spans="1:9" ht="14.25" customHeight="1" x14ac:dyDescent="0.3"/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"/>
  <sheetViews>
    <sheetView workbookViewId="0">
      <selection activeCell="F3" sqref="F3"/>
    </sheetView>
  </sheetViews>
  <sheetFormatPr defaultColWidth="14.44140625" defaultRowHeight="15" customHeight="1" x14ac:dyDescent="0.3"/>
  <cols>
    <col min="1" max="11" width="8.6640625" customWidth="1"/>
  </cols>
  <sheetData>
    <row r="1" spans="1:6" ht="14.25" customHeight="1" x14ac:dyDescent="0.3">
      <c r="A1" s="1" t="s">
        <v>0</v>
      </c>
      <c r="B1" s="1">
        <v>8000</v>
      </c>
      <c r="C1" s="1">
        <v>9500</v>
      </c>
      <c r="D1" s="1">
        <v>10200</v>
      </c>
      <c r="E1" s="1">
        <v>11000</v>
      </c>
      <c r="F1" s="1">
        <v>50000</v>
      </c>
    </row>
    <row r="2" spans="1:6" ht="14.25" customHeight="1" x14ac:dyDescent="0.3">
      <c r="A2" s="10" t="s">
        <v>2</v>
      </c>
      <c r="B2">
        <v>10200</v>
      </c>
      <c r="C2">
        <f>MEDIAN(B1:F1)</f>
        <v>10200</v>
      </c>
      <c r="E2" t="str">
        <f ca="1">_xlfn.FORMULATEXT(C2)</f>
        <v>=MEDIAN(B1:F1)</v>
      </c>
    </row>
    <row r="3" spans="1:6" ht="14.25" customHeight="1" x14ac:dyDescent="0.3">
      <c r="A3" s="8" t="s">
        <v>1</v>
      </c>
      <c r="B3">
        <v>17740</v>
      </c>
      <c r="C3">
        <f>AVERAGE(B1:F1)</f>
        <v>17740</v>
      </c>
      <c r="E3" t="str">
        <f ca="1">_xlfn.FORMULATEXT(C3)</f>
        <v>=AVERAGE(B1:F1)</v>
      </c>
    </row>
    <row r="4" spans="1:6" ht="14.25" customHeight="1" x14ac:dyDescent="0.3"/>
    <row r="5" spans="1:6" ht="14.25" customHeight="1" x14ac:dyDescent="0.3">
      <c r="A5" s="6"/>
    </row>
    <row r="6" spans="1:6" ht="14.25" customHeight="1" x14ac:dyDescent="0.3">
      <c r="A6" s="7"/>
      <c r="B6" s="15" t="s">
        <v>23</v>
      </c>
    </row>
    <row r="7" spans="1:6" ht="14.25" customHeight="1" x14ac:dyDescent="0.3">
      <c r="A7" s="11"/>
      <c r="B7" s="16"/>
    </row>
    <row r="8" spans="1:6" ht="14.25" customHeight="1" x14ac:dyDescent="0.3">
      <c r="B8" s="16" t="s">
        <v>24</v>
      </c>
    </row>
    <row r="9" spans="1:6" ht="14.25" customHeight="1" x14ac:dyDescent="0.3">
      <c r="B9" s="16"/>
    </row>
    <row r="10" spans="1:6" ht="14.25" customHeight="1" x14ac:dyDescent="0.3">
      <c r="A10" s="7"/>
      <c r="B10" s="16" t="s">
        <v>25</v>
      </c>
    </row>
    <row r="11" spans="1:6" ht="14.25" customHeight="1" x14ac:dyDescent="0.3">
      <c r="A11" s="11"/>
      <c r="B11" s="16"/>
    </row>
    <row r="12" spans="1:6" ht="14.25" customHeight="1" x14ac:dyDescent="0.3">
      <c r="B12" s="16" t="s">
        <v>26</v>
      </c>
    </row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selection activeCell="E3" sqref="E3"/>
    </sheetView>
  </sheetViews>
  <sheetFormatPr defaultColWidth="14.44140625" defaultRowHeight="15" customHeight="1" x14ac:dyDescent="0.3"/>
  <cols>
    <col min="1" max="11" width="8.6640625" customWidth="1"/>
  </cols>
  <sheetData>
    <row r="1" spans="1:6" ht="14.25" customHeight="1" x14ac:dyDescent="0.3">
      <c r="A1" s="1" t="s">
        <v>0</v>
      </c>
      <c r="B1" s="1">
        <v>25</v>
      </c>
      <c r="C1" s="1">
        <v>30</v>
      </c>
      <c r="D1" s="1">
        <v>27</v>
      </c>
      <c r="E1" s="1">
        <v>35</v>
      </c>
      <c r="F1" s="1">
        <v>40</v>
      </c>
    </row>
    <row r="2" spans="1:6" ht="14.25" customHeight="1" x14ac:dyDescent="0.3">
      <c r="A2" s="12" t="s">
        <v>4</v>
      </c>
      <c r="B2">
        <v>15</v>
      </c>
      <c r="C2">
        <f>MAX(B1:F1)-MIN(B1:F1)</f>
        <v>15</v>
      </c>
    </row>
    <row r="3" spans="1:6" ht="14.25" customHeight="1" x14ac:dyDescent="0.3">
      <c r="D3" t="str">
        <f ca="1">_xlfn.FORMULATEXT(C2)</f>
        <v>=MAX(B1:F1)-MIN(B1:F1)</v>
      </c>
    </row>
    <row r="4" spans="1:6" ht="14.25" customHeight="1" x14ac:dyDescent="0.3"/>
    <row r="5" spans="1:6" ht="14.25" customHeight="1" x14ac:dyDescent="0.3">
      <c r="B5" t="s">
        <v>27</v>
      </c>
    </row>
    <row r="6" spans="1:6" ht="14.25" customHeight="1" x14ac:dyDescent="0.3"/>
    <row r="7" spans="1:6" ht="14.25" customHeight="1" x14ac:dyDescent="0.3">
      <c r="B7" t="s">
        <v>28</v>
      </c>
    </row>
    <row r="8" spans="1:6" ht="14.25" customHeight="1" x14ac:dyDescent="0.3"/>
    <row r="9" spans="1:6" ht="14.25" customHeight="1" x14ac:dyDescent="0.3">
      <c r="B9" t="s">
        <v>29</v>
      </c>
    </row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"/>
  <sheetViews>
    <sheetView workbookViewId="0">
      <selection activeCell="C3" sqref="C3"/>
    </sheetView>
  </sheetViews>
  <sheetFormatPr defaultColWidth="14.44140625" defaultRowHeight="15" customHeight="1" x14ac:dyDescent="0.3"/>
  <cols>
    <col min="1" max="11" width="8.6640625" customWidth="1"/>
  </cols>
  <sheetData>
    <row r="1" spans="1:6" ht="14.25" customHeight="1" x14ac:dyDescent="0.3">
      <c r="A1" s="1" t="s">
        <v>0</v>
      </c>
      <c r="B1" s="1">
        <v>100</v>
      </c>
      <c r="C1" s="1">
        <v>105</v>
      </c>
      <c r="D1" s="1">
        <v>98</v>
      </c>
      <c r="E1" s="1">
        <v>110</v>
      </c>
      <c r="F1" s="1">
        <v>120</v>
      </c>
    </row>
    <row r="2" spans="1:6" ht="14.25" customHeight="1" x14ac:dyDescent="0.3">
      <c r="A2" s="12" t="s">
        <v>4</v>
      </c>
      <c r="B2">
        <v>22</v>
      </c>
      <c r="C2">
        <f>MAX(B1:F1)-MIN(B1:F1)</f>
        <v>22</v>
      </c>
    </row>
    <row r="3" spans="1:6" ht="14.25" customHeight="1" x14ac:dyDescent="0.3">
      <c r="B3" t="str">
        <f ca="1">_xlfn.FORMULATEXT(C2)</f>
        <v>=MAX(B1:F1)-MIN(B1:F1)</v>
      </c>
    </row>
    <row r="4" spans="1:6" ht="14.25" customHeight="1" x14ac:dyDescent="0.3"/>
    <row r="5" spans="1:6" ht="14.25" customHeight="1" x14ac:dyDescent="0.3">
      <c r="B5" s="15" t="s">
        <v>30</v>
      </c>
    </row>
    <row r="6" spans="1:6" ht="14.25" customHeight="1" x14ac:dyDescent="0.3">
      <c r="B6" s="16"/>
    </row>
    <row r="7" spans="1:6" ht="14.25" customHeight="1" x14ac:dyDescent="0.3">
      <c r="B7" s="16" t="s">
        <v>31</v>
      </c>
    </row>
    <row r="8" spans="1:6" ht="14.25" customHeight="1" x14ac:dyDescent="0.3">
      <c r="B8" s="16"/>
    </row>
    <row r="9" spans="1:6" ht="14.25" customHeight="1" x14ac:dyDescent="0.3">
      <c r="B9" s="16" t="s">
        <v>32</v>
      </c>
    </row>
    <row r="10" spans="1:6" ht="14.25" customHeight="1" x14ac:dyDescent="0.3">
      <c r="B10" s="16"/>
    </row>
    <row r="11" spans="1:6" ht="14.25" customHeight="1" x14ac:dyDescent="0.3">
      <c r="B11" s="16" t="s">
        <v>33</v>
      </c>
    </row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"/>
  <sheetViews>
    <sheetView workbookViewId="0">
      <selection activeCell="E5" sqref="E5"/>
    </sheetView>
  </sheetViews>
  <sheetFormatPr defaultColWidth="14.44140625" defaultRowHeight="15" customHeight="1" x14ac:dyDescent="0.3"/>
  <cols>
    <col min="1" max="1" width="11.44140625" customWidth="1"/>
    <col min="2" max="2" width="8.6640625" customWidth="1"/>
    <col min="3" max="3" width="14.44140625" customWidth="1"/>
    <col min="4" max="11" width="8.6640625" customWidth="1"/>
  </cols>
  <sheetData>
    <row r="1" spans="1:3" ht="14.25" customHeight="1" x14ac:dyDescent="0.3">
      <c r="A1" s="1" t="s">
        <v>5</v>
      </c>
      <c r="B1" s="1" t="s">
        <v>6</v>
      </c>
      <c r="C1" s="1" t="s">
        <v>7</v>
      </c>
    </row>
    <row r="2" spans="1:3" ht="14.25" customHeight="1" x14ac:dyDescent="0.3">
      <c r="A2" s="8" t="s">
        <v>8</v>
      </c>
      <c r="B2">
        <v>6</v>
      </c>
      <c r="C2" t="s">
        <v>9</v>
      </c>
    </row>
    <row r="3" spans="1:3" ht="14.25" customHeight="1" x14ac:dyDescent="0.3">
      <c r="A3" s="10" t="s">
        <v>10</v>
      </c>
      <c r="B3">
        <v>15</v>
      </c>
    </row>
    <row r="4" spans="1:3" ht="14.25" customHeight="1" x14ac:dyDescent="0.3"/>
    <row r="5" spans="1:3" ht="14.25" customHeight="1" x14ac:dyDescent="0.3">
      <c r="B5" s="15" t="s">
        <v>34</v>
      </c>
    </row>
    <row r="6" spans="1:3" ht="14.25" customHeight="1" x14ac:dyDescent="0.3">
      <c r="B6" s="16"/>
    </row>
    <row r="7" spans="1:3" ht="14.25" customHeight="1" x14ac:dyDescent="0.3">
      <c r="B7" s="17" t="s">
        <v>35</v>
      </c>
    </row>
    <row r="8" spans="1:3" ht="14.25" customHeight="1" x14ac:dyDescent="0.3">
      <c r="B8" s="16"/>
    </row>
    <row r="9" spans="1:3" ht="14.25" customHeight="1" x14ac:dyDescent="0.3">
      <c r="B9" s="16" t="s">
        <v>36</v>
      </c>
    </row>
    <row r="10" spans="1:3" ht="14.25" customHeight="1" x14ac:dyDescent="0.3">
      <c r="B10" s="16"/>
    </row>
    <row r="11" spans="1:3" ht="14.25" customHeight="1" x14ac:dyDescent="0.3">
      <c r="B11" s="16" t="s">
        <v>37</v>
      </c>
    </row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"/>
  <sheetViews>
    <sheetView workbookViewId="0">
      <selection activeCell="C3" sqref="C3"/>
    </sheetView>
  </sheetViews>
  <sheetFormatPr defaultColWidth="14.44140625" defaultRowHeight="15" customHeight="1" x14ac:dyDescent="0.3"/>
  <cols>
    <col min="1" max="1" width="8.6640625" customWidth="1"/>
    <col min="2" max="2" width="16.6640625" customWidth="1"/>
    <col min="3" max="11" width="8.6640625" customWidth="1"/>
  </cols>
  <sheetData>
    <row r="1" spans="1:3" ht="14.25" customHeight="1" x14ac:dyDescent="0.3">
      <c r="A1" s="1" t="s">
        <v>11</v>
      </c>
      <c r="B1" s="1" t="s">
        <v>12</v>
      </c>
      <c r="C1" s="1" t="s">
        <v>13</v>
      </c>
    </row>
    <row r="2" spans="1:3" ht="14.25" customHeight="1" x14ac:dyDescent="0.3">
      <c r="A2" s="8" t="s">
        <v>14</v>
      </c>
      <c r="B2">
        <v>30</v>
      </c>
    </row>
    <row r="3" spans="1:3" ht="14.25" customHeight="1" x14ac:dyDescent="0.3">
      <c r="A3" s="10" t="s">
        <v>15</v>
      </c>
      <c r="B3">
        <v>120</v>
      </c>
      <c r="C3" t="s">
        <v>16</v>
      </c>
    </row>
    <row r="4" spans="1:3" ht="14.25" customHeight="1" x14ac:dyDescent="0.3"/>
    <row r="5" spans="1:3" ht="14.25" customHeight="1" x14ac:dyDescent="0.3"/>
    <row r="6" spans="1:3" ht="14.25" customHeight="1" x14ac:dyDescent="0.3">
      <c r="B6" s="15" t="s">
        <v>38</v>
      </c>
    </row>
    <row r="7" spans="1:3" ht="14.25" customHeight="1" x14ac:dyDescent="0.3"/>
    <row r="8" spans="1:3" ht="14.25" customHeight="1" x14ac:dyDescent="0.3">
      <c r="B8" s="15" t="s">
        <v>39</v>
      </c>
    </row>
    <row r="9" spans="1:3" ht="14.25" customHeight="1" x14ac:dyDescent="0.3">
      <c r="B9" s="16"/>
    </row>
    <row r="10" spans="1:3" ht="14.25" customHeight="1" x14ac:dyDescent="0.3">
      <c r="B10" s="17" t="s">
        <v>40</v>
      </c>
    </row>
    <row r="11" spans="1:3" ht="14.25" customHeight="1" x14ac:dyDescent="0.3">
      <c r="B11" s="16"/>
    </row>
    <row r="12" spans="1:3" ht="14.25" customHeight="1" x14ac:dyDescent="0.3">
      <c r="B12" s="16" t="s">
        <v>41</v>
      </c>
    </row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workbookViewId="0">
      <selection activeCell="B8" sqref="B8:B12"/>
    </sheetView>
  </sheetViews>
  <sheetFormatPr defaultColWidth="14.44140625" defaultRowHeight="15" customHeight="1" x14ac:dyDescent="0.3"/>
  <cols>
    <col min="1" max="1" width="17.109375" customWidth="1"/>
    <col min="2" max="11" width="8.6640625" customWidth="1"/>
  </cols>
  <sheetData>
    <row r="1" spans="1:6" ht="14.25" customHeight="1" x14ac:dyDescent="0.3">
      <c r="A1" s="1" t="s">
        <v>0</v>
      </c>
      <c r="B1" s="1">
        <v>400</v>
      </c>
      <c r="C1" s="1">
        <v>420</v>
      </c>
      <c r="D1" s="1">
        <v>390</v>
      </c>
      <c r="E1" s="1">
        <v>450</v>
      </c>
      <c r="F1" s="1">
        <v>410</v>
      </c>
    </row>
    <row r="2" spans="1:6" ht="14.25" customHeight="1" x14ac:dyDescent="0.3">
      <c r="A2" s="8" t="s">
        <v>1</v>
      </c>
      <c r="B2">
        <v>414</v>
      </c>
      <c r="C2">
        <f>AVERAGE(B1:F1)</f>
        <v>414</v>
      </c>
    </row>
    <row r="3" spans="1:6" ht="14.25" customHeight="1" x14ac:dyDescent="0.3">
      <c r="A3" s="13" t="s">
        <v>12</v>
      </c>
      <c r="B3">
        <v>20.591260281974002</v>
      </c>
      <c r="C3">
        <f>_xlfn.STDEV.P(B1:F1)</f>
        <v>20.591260281974002</v>
      </c>
    </row>
    <row r="4" spans="1:6" ht="14.25" customHeight="1" x14ac:dyDescent="0.3"/>
    <row r="5" spans="1:6" ht="14.25" customHeight="1" x14ac:dyDescent="0.3">
      <c r="B5" t="str">
        <f ca="1">_xlfn.FORMULATEXT(C3)</f>
        <v>=STDEV.P(B1:F1)</v>
      </c>
    </row>
    <row r="6" spans="1:6" ht="14.25" customHeight="1" x14ac:dyDescent="0.3">
      <c r="B6" t="str">
        <f ca="1">_xlfn.FORMULATEXT(C2)</f>
        <v>=AVERAGE(B1:F1)</v>
      </c>
    </row>
    <row r="7" spans="1:6" ht="14.25" customHeight="1" x14ac:dyDescent="0.3"/>
    <row r="8" spans="1:6" ht="14.25" customHeight="1" x14ac:dyDescent="0.3">
      <c r="B8" s="16" t="s">
        <v>42</v>
      </c>
    </row>
    <row r="9" spans="1:6" ht="14.25" customHeight="1" x14ac:dyDescent="0.3">
      <c r="B9" s="16"/>
    </row>
    <row r="10" spans="1:6" ht="14.25" customHeight="1" x14ac:dyDescent="0.3">
      <c r="B10" s="16" t="s">
        <v>43</v>
      </c>
    </row>
    <row r="11" spans="1:6" ht="14.25" customHeight="1" x14ac:dyDescent="0.3">
      <c r="B11" s="16"/>
    </row>
    <row r="12" spans="1:6" ht="14.25" customHeight="1" x14ac:dyDescent="0.3">
      <c r="B12" s="16" t="s">
        <v>44</v>
      </c>
    </row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"/>
  <sheetViews>
    <sheetView tabSelected="1" workbookViewId="0">
      <selection activeCell="J7" sqref="J7"/>
    </sheetView>
  </sheetViews>
  <sheetFormatPr defaultColWidth="14.44140625" defaultRowHeight="15" customHeight="1" x14ac:dyDescent="0.3"/>
  <cols>
    <col min="1" max="1" width="17.33203125" customWidth="1"/>
    <col min="2" max="11" width="8.6640625" customWidth="1"/>
  </cols>
  <sheetData>
    <row r="1" spans="1:9" ht="14.25" customHeight="1" x14ac:dyDescent="0.3">
      <c r="A1" s="1" t="s">
        <v>0</v>
      </c>
      <c r="B1" s="1">
        <v>15</v>
      </c>
      <c r="C1" s="1">
        <v>18</v>
      </c>
      <c r="D1" s="1">
        <v>20</v>
      </c>
      <c r="E1" s="1">
        <v>22</v>
      </c>
      <c r="F1" s="1">
        <v>25</v>
      </c>
      <c r="G1" s="1">
        <v>17</v>
      </c>
      <c r="H1" s="1">
        <v>19</v>
      </c>
      <c r="I1" s="1">
        <v>21</v>
      </c>
    </row>
    <row r="2" spans="1:9" ht="14.25" customHeight="1" x14ac:dyDescent="0.3">
      <c r="A2" s="8" t="s">
        <v>1</v>
      </c>
      <c r="B2">
        <v>19.625</v>
      </c>
      <c r="C2">
        <f>AVERAGE(B1:I1)</f>
        <v>19.625</v>
      </c>
    </row>
    <row r="3" spans="1:9" ht="14.25" customHeight="1" x14ac:dyDescent="0.3">
      <c r="A3" s="10" t="s">
        <v>2</v>
      </c>
      <c r="B3">
        <v>19.5</v>
      </c>
      <c r="C3">
        <f>MEDIAN(B1:I1)</f>
        <v>19.5</v>
      </c>
      <c r="E3" t="str" cm="1">
        <f t="array" aca="1" ref="E3:E7" ca="1">_xlfn.FORMULATEXT(C2:C6)</f>
        <v>=AVERAGE(B1:I1)</v>
      </c>
    </row>
    <row r="4" spans="1:9" ht="14.25" customHeight="1" x14ac:dyDescent="0.3">
      <c r="A4" s="9" t="s">
        <v>3</v>
      </c>
      <c r="B4">
        <v>15</v>
      </c>
      <c r="C4" t="e">
        <f>_xlfn.MODE.SNGL(B1:(I1))</f>
        <v>#N/A</v>
      </c>
      <c r="E4" t="str">
        <f ca="1"/>
        <v>=MEDIAN(B1:I1)</v>
      </c>
    </row>
    <row r="5" spans="1:9" ht="14.25" customHeight="1" x14ac:dyDescent="0.3">
      <c r="A5" s="12" t="s">
        <v>4</v>
      </c>
      <c r="B5">
        <v>10</v>
      </c>
      <c r="C5">
        <f>MAX(B1:I1)-MIN(B1:I1)</f>
        <v>10</v>
      </c>
      <c r="E5" t="str">
        <f ca="1"/>
        <v>=MODE.SNGL(B1:(I1))</v>
      </c>
    </row>
    <row r="6" spans="1:9" ht="14.25" customHeight="1" x14ac:dyDescent="0.3">
      <c r="A6" s="13" t="s">
        <v>12</v>
      </c>
      <c r="B6">
        <v>2.912795049432761</v>
      </c>
      <c r="C6">
        <f>_xlfn.STDEV.P(B1:I1)</f>
        <v>2.912795049432761</v>
      </c>
      <c r="E6" t="str">
        <f ca="1"/>
        <v>=MAX(B1:I1)-MIN(B1:I1)</v>
      </c>
    </row>
    <row r="7" spans="1:9" ht="14.25" customHeight="1" x14ac:dyDescent="0.3">
      <c r="E7" t="str">
        <f ca="1"/>
        <v>=STDEV.P(B1:I1)</v>
      </c>
    </row>
    <row r="8" spans="1:9" ht="14.25" customHeight="1" x14ac:dyDescent="0.3"/>
    <row r="9" spans="1:9" ht="14.25" customHeight="1" x14ac:dyDescent="0.3">
      <c r="B9" t="s">
        <v>45</v>
      </c>
    </row>
    <row r="10" spans="1:9" ht="14.25" customHeight="1" x14ac:dyDescent="0.3"/>
    <row r="11" spans="1:9" ht="14.25" customHeight="1" x14ac:dyDescent="0.3">
      <c r="B11" t="s">
        <v>46</v>
      </c>
    </row>
    <row r="12" spans="1:9" ht="14.25" customHeight="1" x14ac:dyDescent="0.3"/>
    <row r="13" spans="1:9" ht="14.25" customHeight="1" x14ac:dyDescent="0.3">
      <c r="B13" t="s">
        <v>47</v>
      </c>
    </row>
    <row r="14" spans="1:9" ht="14.25" customHeight="1" x14ac:dyDescent="0.3"/>
    <row r="15" spans="1:9" ht="14.25" customHeight="1" x14ac:dyDescent="0.3">
      <c r="B15" t="s">
        <v>48</v>
      </c>
    </row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prachiprempoudyal.10@gmail.com</cp:lastModifiedBy>
  <dcterms:created xsi:type="dcterms:W3CDTF">2026-01-16T08:39:58Z</dcterms:created>
  <dcterms:modified xsi:type="dcterms:W3CDTF">2026-02-16T14:50:08Z</dcterms:modified>
</cp:coreProperties>
</file>